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erekeningen" sheetId="3" state="visible" r:id="rId3"/>
  </sheets>
  <definedNames>
    <definedName name="_xlnm._FilterDatabase" localSheetId="0" hidden="1">'Overzicht'!$A$4:$E$20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s="1" t="inlineStr">
        <is>
          <t>JAARRAPPORT 2024 - FINANCIEEL OVERZICHT</t>
        </is>
      </c>
    </row>
    <row r="3">
      <c r="A3" t="inlineStr">
        <is>
          <t>Periode</t>
        </is>
      </c>
      <c r="C3" t="inlineStr">
        <is>
          <t>Bedragen (€)</t>
        </is>
      </c>
    </row>
    <row r="4">
      <c r="A4" s="2" t="inlineStr">
        <is>
          <t>Kwartaal</t>
        </is>
      </c>
      <c r="B4" s="2" t="inlineStr">
        <is>
          <t>Maand</t>
        </is>
      </c>
      <c r="C4" s="2" t="inlineStr">
        <is>
          <t>Budget</t>
        </is>
      </c>
      <c r="D4" s="2" t="inlineStr">
        <is>
          <t>Realisatie</t>
        </is>
      </c>
      <c r="E4" s="2" t="inlineStr">
        <is>
          <t>Verschil</t>
        </is>
      </c>
    </row>
    <row r="5">
      <c r="A5" t="inlineStr">
        <is>
          <t>Q1</t>
        </is>
      </c>
      <c r="B5" t="inlineStr">
        <is>
          <t>Jan</t>
        </is>
      </c>
      <c r="C5" s="3" t="n">
        <v>153786</v>
      </c>
      <c r="D5" t="n">
        <v>124366</v>
      </c>
      <c r="E5">
        <f>D5-C5</f>
        <v/>
      </c>
    </row>
    <row r="6">
      <c r="B6" t="inlineStr">
        <is>
          <t>Feb</t>
        </is>
      </c>
      <c r="C6" s="3" t="n">
        <v>164913</v>
      </c>
      <c r="D6" t="n">
        <v>169824</v>
      </c>
      <c r="E6">
        <f>D6-C6</f>
        <v/>
      </c>
    </row>
    <row r="7">
      <c r="B7" t="inlineStr">
        <is>
          <t>Mrt</t>
        </is>
      </c>
      <c r="C7" s="3" t="n">
        <v>82033</v>
      </c>
      <c r="D7" t="n">
        <v>86000</v>
      </c>
      <c r="E7">
        <f>D7-C7</f>
        <v/>
      </c>
    </row>
    <row r="8"/>
    <row r="9">
      <c r="A9" t="inlineStr">
        <is>
          <t>Q2</t>
        </is>
      </c>
      <c r="B9" t="inlineStr">
        <is>
          <t>M4</t>
        </is>
      </c>
      <c r="C9" s="3" t="n">
        <v>108594</v>
      </c>
      <c r="D9" t="n">
        <v>112757</v>
      </c>
      <c r="E9">
        <f>D9-C9</f>
        <v/>
      </c>
    </row>
    <row r="10" hidden="1">
      <c r="B10" t="inlineStr">
        <is>
          <t>M5</t>
        </is>
      </c>
      <c r="C10" s="3" t="n">
        <v>97844</v>
      </c>
      <c r="D10" t="n">
        <v>95960</v>
      </c>
      <c r="E10">
        <f>D10-C10</f>
        <v/>
      </c>
    </row>
    <row r="11">
      <c r="B11" t="inlineStr">
        <is>
          <t>M6</t>
        </is>
      </c>
      <c r="C11" s="3" t="n">
        <v>82552</v>
      </c>
      <c r="D11" t="n">
        <v>75747</v>
      </c>
      <c r="E11">
        <f>D11-C11</f>
        <v/>
      </c>
    </row>
    <row r="12"/>
    <row r="13">
      <c r="A13" t="inlineStr">
        <is>
          <t>Q3</t>
        </is>
      </c>
      <c r="B13" t="inlineStr">
        <is>
          <t>M7</t>
        </is>
      </c>
      <c r="C13" s="3" t="n">
        <v>62145</v>
      </c>
      <c r="D13" t="n">
        <v>51722</v>
      </c>
      <c r="E13">
        <f>D13-C13</f>
        <v/>
      </c>
    </row>
    <row r="14" hidden="1">
      <c r="B14" t="inlineStr">
        <is>
          <t>M8</t>
        </is>
      </c>
      <c r="C14" s="3" t="n">
        <v>158266</v>
      </c>
      <c r="D14" t="n">
        <v>130822</v>
      </c>
      <c r="E14">
        <f>D14-C14</f>
        <v/>
      </c>
    </row>
    <row r="15">
      <c r="B15" t="inlineStr">
        <is>
          <t>M9</t>
        </is>
      </c>
      <c r="C15" s="3" t="n">
        <v>137247</v>
      </c>
      <c r="D15" t="n">
        <v>150857</v>
      </c>
      <c r="E15">
        <f>D15-C15</f>
        <v/>
      </c>
    </row>
    <row r="16"/>
    <row r="17">
      <c r="A17" t="inlineStr">
        <is>
          <t>Q4</t>
        </is>
      </c>
      <c r="B17" t="inlineStr">
        <is>
          <t>M10</t>
        </is>
      </c>
      <c r="C17" s="3" t="n">
        <v>66818</v>
      </c>
      <c r="D17" t="n">
        <v>67746</v>
      </c>
      <c r="E17">
        <f>D17-C17</f>
        <v/>
      </c>
    </row>
    <row r="18">
      <c r="B18" t="inlineStr">
        <is>
          <t>M11</t>
        </is>
      </c>
      <c r="C18" s="3" t="n">
        <v>62957</v>
      </c>
      <c r="D18" t="n">
        <v>56436</v>
      </c>
      <c r="E18">
        <f>D18-C18</f>
        <v/>
      </c>
    </row>
    <row r="19">
      <c r="B19" t="inlineStr">
        <is>
          <t>M12</t>
        </is>
      </c>
      <c r="C19" s="3" t="n">
        <v>148276</v>
      </c>
      <c r="D19" t="n">
        <v>162663</v>
      </c>
      <c r="E19">
        <f>D19-C19</f>
        <v/>
      </c>
    </row>
  </sheetData>
  <autoFilter ref="A4:E20"/>
  <mergeCells count="7">
    <mergeCell ref="A17:A19"/>
    <mergeCell ref="A1:E1"/>
    <mergeCell ref="A5:A7"/>
    <mergeCell ref="C3:E3"/>
    <mergeCell ref="A3:B3"/>
    <mergeCell ref="A9:A1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1.15</v>
      </c>
    </row>
    <row r="2">
      <c r="A2" t="inlineStr">
        <is>
          <t>Basisbudget</t>
        </is>
      </c>
      <c r="B2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Cross-sheet referenties:</t>
        </is>
      </c>
    </row>
    <row r="2">
      <c r="A2" t="inlineStr">
        <is>
          <t>Factor ophalen</t>
        </is>
      </c>
      <c r="B2">
        <f>Details!B1</f>
        <v/>
      </c>
    </row>
    <row r="3">
      <c r="A3" t="inlineStr">
        <is>
          <t>Basisbudget</t>
        </is>
      </c>
      <c r="B3">
        <f>Details!B2</f>
        <v/>
      </c>
    </row>
    <row r="4">
      <c r="A4" t="inlineStr">
        <is>
          <t>Berekend totaal</t>
        </is>
      </c>
      <c r="B4">
        <f>Details!B1*Details!B2</f>
        <v/>
      </c>
    </row>
    <row r="5">
      <c r="A5" t="inlineStr">
        <is>
          <t>SUMIF voorbeeld</t>
        </is>
      </c>
      <c r="B5">
        <f>SUMIF(Overzicht!C5:C20,"&gt;100000")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2026-01-16T16:05:28Z</dcterms:created>
  <dcterms:modified xmlns:dcterms="http://purl.org/dc/terms/" xmlns:xsi="http://www.w3.org/2001/XMLSchema-instance" xsi:type="dcterms:W3CDTF">2026-01-16T16:05:28Z</dcterms:modified>
</cp:coreProperties>
</file>